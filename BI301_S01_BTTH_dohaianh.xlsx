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leaned" sheetId="1" state="visible" r:id="rId1"/>
    <sheet xmlns:r="http://schemas.openxmlformats.org/officeDocument/2006/relationships" name="BI_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F4E78"/>
      <sz val="16"/>
    </font>
    <font>
      <name val="Segoe UI"/>
      <i val="1"/>
      <color rgb="00595959"/>
      <sz val="12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color rgb="00C00000"/>
      <sz val="14"/>
    </font>
    <font>
      <name val="Segoe UI"/>
      <b val="1"/>
      <color rgb="00385723"/>
      <sz val="14"/>
    </font>
    <font>
      <name val="Segoe UI"/>
      <b val="1"/>
      <color rgb="00ED7D31"/>
      <sz val="14"/>
    </font>
    <font>
      <name val="Segoe U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 Sánh Lượt Mua và Lượng Hàng Hoàn Trả Giữa 2 Miền (Units)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'BI_Dashboard'!C18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'BI_Dashboard'!$B$19:$B$20</f>
            </numRef>
          </cat>
          <val>
            <numRef>
              <f>'BI_Dashboard'!$C$19:$C$20</f>
            </numRef>
          </val>
        </ser>
        <ser>
          <idx val="1"/>
          <order val="1"/>
          <tx>
            <strRef>
              <f>'BI_Dashboard'!D18</f>
            </strRef>
          </tx>
          <spPr>
            <a:ln xmlns:a="http://schemas.openxmlformats.org/drawingml/2006/main">
              <a:prstDash val="solid"/>
            </a:ln>
          </spPr>
          <cat>
            <numRef>
              <f>'BI_Dashboard'!$B$19:$B$20</f>
            </numRef>
          </cat>
          <val>
            <numRef>
              <f>'BI_Dashboard'!$D$19:$D$20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Khu Vực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sản phẩm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Đổi Trả AIRism U11 Giữa 2 Miền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'BI_Dashboard'!C23</f>
            </strRef>
          </tx>
          <spPr>
            <a:ln xmlns:a="http://schemas.openxmlformats.org/drawingml/2006/main">
              <a:prstDash val="solid"/>
            </a:ln>
          </spPr>
          <cat>
            <numRef>
              <f>'BI_Dashboard'!$B$24:$B$25</f>
            </numRef>
          </cat>
          <val>
            <numRef>
              <f>'BI_Dashboard'!$C$24:$C$25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Khu Vực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Đổi Trả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17" customWidth="1" min="7" max="7"/>
    <col width="26" customWidth="1" min="8" max="8"/>
    <col width="25" customWidth="1" min="9" max="9"/>
    <col width="17" customWidth="1" min="10" max="10"/>
    <col width="23" customWidth="1" min="11" max="11"/>
  </cols>
  <sheetData>
    <row r="1">
      <c r="A1" s="1" t="inlineStr">
        <is>
          <t>Mã SP</t>
        </is>
      </c>
      <c r="B1" s="1" t="inlineStr">
        <is>
          <t>Dòng SP</t>
        </is>
      </c>
      <c r="C1" s="1" t="inlineStr">
        <is>
          <t>Khu Vực</t>
        </is>
      </c>
      <c r="D1" s="1" t="inlineStr">
        <is>
          <t>Mùa</t>
        </is>
      </c>
      <c r="E1" s="1" t="inlineStr">
        <is>
          <t>Lượt Xem (Views)</t>
        </is>
      </c>
      <c r="F1" s="1" t="inlineStr">
        <is>
          <t>Lượt Mua (Orders)</t>
        </is>
      </c>
      <c r="G1" s="1" t="inlineStr">
        <is>
          <t>Tỷ Lệ Đổi Trả</t>
        </is>
      </c>
      <c r="H1" s="1" t="inlineStr">
        <is>
          <t>Lượng Hoàn Trả (Units)</t>
        </is>
      </c>
      <c r="I1" s="1" t="inlineStr">
        <is>
          <t>Lượng Giữ Lại (Units)</t>
        </is>
      </c>
      <c r="J1" s="1" t="inlineStr">
        <is>
          <t>Tỷ Lệ Giữ Lại</t>
        </is>
      </c>
      <c r="K1" s="1" t="inlineStr">
        <is>
          <t>Nhận Xét Khách Hàng</t>
        </is>
      </c>
    </row>
    <row r="2">
      <c r="A2" s="2" t="inlineStr">
        <is>
          <t>U11</t>
        </is>
      </c>
      <c r="B2" s="2" t="inlineStr">
        <is>
          <t>AIRism</t>
        </is>
      </c>
      <c r="C2" s="2" t="inlineStr">
        <is>
          <t>Miền Nam</t>
        </is>
      </c>
      <c r="D2" s="2" t="inlineStr">
        <is>
          <t>Thu Đông</t>
        </is>
      </c>
      <c r="E2" s="3" t="n">
        <v>500000</v>
      </c>
      <c r="F2" s="3" t="n">
        <v>50000</v>
      </c>
      <c r="G2" s="4" t="n">
        <v>0.01</v>
      </c>
      <c r="H2" s="3">
        <f>F2*G2</f>
        <v/>
      </c>
      <c r="I2" s="3">
        <f>F2-H2</f>
        <v/>
      </c>
      <c r="J2" s="4">
        <f>I2/F2</f>
        <v/>
      </c>
      <c r="K2" s="2" t="inlineStr">
        <is>
          <t>Mặc mát, thoải mái</t>
        </is>
      </c>
    </row>
    <row r="3">
      <c r="A3" s="2" t="inlineStr">
        <is>
          <t>U11</t>
        </is>
      </c>
      <c r="B3" s="2" t="inlineStr">
        <is>
          <t>AIRism</t>
        </is>
      </c>
      <c r="C3" s="2" t="inlineStr">
        <is>
          <t>Miền Bắc</t>
        </is>
      </c>
      <c r="D3" s="2" t="inlineStr">
        <is>
          <t>Thu Đông</t>
        </is>
      </c>
      <c r="E3" s="3" t="n">
        <v>600000</v>
      </c>
      <c r="F3" s="3" t="n">
        <v>80000</v>
      </c>
      <c r="G3" s="4" t="n">
        <v>0.45</v>
      </c>
      <c r="H3" s="3">
        <f>F3*G3</f>
        <v/>
      </c>
      <c r="I3" s="3">
        <f>F3-H3</f>
        <v/>
      </c>
      <c r="J3" s="4">
        <f>I3/F3</f>
        <v/>
      </c>
      <c r="K3" s="2" t="inlineStr">
        <is>
          <t>Quá lạnh, gió lùa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1" customWidth="1" min="3" max="3"/>
    <col width="28" customWidth="1" min="4" max="4"/>
    <col width="21" customWidth="1" min="5" max="5"/>
    <col width="21" customWidth="1" min="6" max="6"/>
    <col width="14" customWidth="1" min="7" max="7"/>
    <col width="23" customWidth="1" min="8" max="8"/>
  </cols>
  <sheetData>
    <row r="1"/>
    <row r="2">
      <c r="B2" s="5" t="inlineStr">
        <is>
          <t>UNIQLO BUSINESS INTELLIGENCE DASHBOARD</t>
        </is>
      </c>
    </row>
    <row r="3">
      <c r="B3" s="6" t="inlineStr">
        <is>
          <t>Báo Cáo Hiệu Suất Dòng Sản Phẩm AIRism (U11) - Mùa Thu Đông</t>
        </is>
      </c>
    </row>
    <row r="4"/>
    <row r="5">
      <c r="B5" s="7" t="inlineStr">
        <is>
          <t>TỔNG LƯỢNG BÁN</t>
        </is>
      </c>
      <c r="D5" s="7" t="inlineStr">
        <is>
          <t>HOÀN TRẢ MIỀN BẮC</t>
        </is>
      </c>
      <c r="F5" s="7" t="inlineStr">
        <is>
          <t>HOÀN TRẢ MIỀN NAM</t>
        </is>
      </c>
      <c r="H5" s="7" t="inlineStr">
        <is>
          <t>CHÊNH LỆCH HOÀN TRẢ</t>
        </is>
      </c>
    </row>
    <row r="6">
      <c r="B6" s="8" t="inlineStr">
        <is>
          <t>130,000</t>
        </is>
      </c>
      <c r="D6" s="9" t="inlineStr">
        <is>
          <t>36,000 (45%)</t>
        </is>
      </c>
      <c r="F6" s="10" t="inlineStr">
        <is>
          <t>500 (1%)</t>
        </is>
      </c>
      <c r="H6" s="11" t="inlineStr">
        <is>
          <t>72 LẦN</t>
        </is>
      </c>
    </row>
    <row r="7"/>
    <row r="8"/>
    <row r="9">
      <c r="B9" s="12" t="inlineStr">
        <is>
          <t>Chỉ Số Phân Tích (Metrics)</t>
        </is>
      </c>
      <c r="C9" s="12" t="inlineStr">
        <is>
          <t>Miền Nam</t>
        </is>
      </c>
      <c r="D9" s="12" t="inlineStr">
        <is>
          <t>Miền Bắc</t>
        </is>
      </c>
      <c r="E9" s="12" t="inlineStr">
        <is>
          <t>Chênh Lệch / Tổng</t>
        </is>
      </c>
    </row>
    <row r="10">
      <c r="B10" s="13" t="inlineStr">
        <is>
          <t>Lượt xem (Views)</t>
        </is>
      </c>
      <c r="C10" s="14" t="n">
        <v>500000</v>
      </c>
      <c r="D10" s="14" t="n">
        <v>600000</v>
      </c>
      <c r="E10" s="14" t="n">
        <v>1100000</v>
      </c>
    </row>
    <row r="11">
      <c r="B11" s="13" t="inlineStr">
        <is>
          <t>Lượt mua (Orders)</t>
        </is>
      </c>
      <c r="C11" s="14" t="n">
        <v>50000</v>
      </c>
      <c r="D11" s="14" t="n">
        <v>80000</v>
      </c>
      <c r="E11" s="14" t="n">
        <v>130000</v>
      </c>
    </row>
    <row r="12">
      <c r="B12" s="13" t="inlineStr">
        <is>
          <t>Tỷ lệ mua hàng (CVR)</t>
        </is>
      </c>
      <c r="C12" s="15" t="n">
        <v>0.1</v>
      </c>
      <c r="D12" s="15" t="n">
        <v>0.1333</v>
      </c>
      <c r="E12" s="15" t="n">
        <v>0.1185</v>
      </c>
    </row>
    <row r="13">
      <c r="B13" s="13" t="inlineStr">
        <is>
          <t>Tỷ lệ hoàn trả (Return Rate)</t>
        </is>
      </c>
      <c r="C13" s="15" t="n">
        <v>0.01</v>
      </c>
      <c r="D13" s="15" t="n">
        <v>0.45</v>
      </c>
      <c r="E13" s="15" t="n">
        <v>0.2808</v>
      </c>
    </row>
    <row r="14">
      <c r="B14" s="13" t="inlineStr">
        <is>
          <t>Lượng hàng bị trả (Return Volume)</t>
        </is>
      </c>
      <c r="C14" s="14" t="n">
        <v>500</v>
      </c>
      <c r="D14" s="14" t="n">
        <v>36000</v>
      </c>
      <c r="E14" s="14" t="n">
        <v>36500</v>
      </c>
    </row>
    <row r="15">
      <c r="B15" s="13" t="inlineStr">
        <is>
          <t>Lượng hàng giữ lại thực tế (Net Units)</t>
        </is>
      </c>
      <c r="C15" s="14" t="n">
        <v>49500</v>
      </c>
      <c r="D15" s="14" t="n">
        <v>44000</v>
      </c>
      <c r="E15" s="14" t="n">
        <v>93500</v>
      </c>
    </row>
    <row r="16">
      <c r="B16" s="13" t="inlineStr">
        <is>
          <t>Tỷ lệ giữ lại thực tế (Net Keep Rate)</t>
        </is>
      </c>
      <c r="C16" s="15" t="n">
        <v>0.99</v>
      </c>
      <c r="D16" s="15" t="n">
        <v>0.55</v>
      </c>
      <c r="E16" s="15" t="n">
        <v>0.7192</v>
      </c>
    </row>
    <row r="17"/>
    <row r="18">
      <c r="B18" s="16" t="inlineStr">
        <is>
          <t>Khu Vực</t>
        </is>
      </c>
      <c r="C18" s="16" t="inlineStr">
        <is>
          <t>Lượt Mua (Orders)</t>
        </is>
      </c>
      <c r="D18" s="16" t="inlineStr">
        <is>
          <t>Lượng Hoàn Trả (Returns)</t>
        </is>
      </c>
    </row>
    <row r="19">
      <c r="B19" t="inlineStr">
        <is>
          <t>Miền Nam</t>
        </is>
      </c>
      <c r="C19" t="n">
        <v>50000</v>
      </c>
      <c r="D19" t="n">
        <v>500</v>
      </c>
    </row>
    <row r="20">
      <c r="B20" t="inlineStr">
        <is>
          <t>Miền Bắc</t>
        </is>
      </c>
      <c r="C20" t="n">
        <v>80000</v>
      </c>
      <c r="D20" t="n">
        <v>36000</v>
      </c>
    </row>
    <row r="21"/>
    <row r="22"/>
    <row r="23">
      <c r="B23" s="16" t="inlineStr">
        <is>
          <t>Khu Vực</t>
        </is>
      </c>
      <c r="C23" s="16" t="inlineStr">
        <is>
          <t>Tỷ Lệ Đổi Trả (%)</t>
        </is>
      </c>
    </row>
    <row r="24">
      <c r="B24" t="inlineStr">
        <is>
          <t>Miền Nam</t>
        </is>
      </c>
      <c r="C24" t="n">
        <v>0.01</v>
      </c>
    </row>
    <row r="25">
      <c r="B25" t="inlineStr">
        <is>
          <t>Miền Bắc</t>
        </is>
      </c>
      <c r="C25" t="n">
        <v>0.45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2026-09-29T02:47:42Z</dcterms:created>
  <dcterms:modified xmlns:dcterms="http://purl.org/dc/terms/" xmlns:xsi="http://www.w3.org/2001/XMLSchema-instance" xsi:type="dcterms:W3CDTF">2026-09-29T02:47:42Z</dcterms:modified>
</cp:coreProperties>
</file>